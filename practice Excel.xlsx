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\Downloads\"/>
    </mc:Choice>
  </mc:AlternateContent>
  <xr:revisionPtr revIDLastSave="0" documentId="13_ncr:1_{78DCFE56-B439-4560-8C51-724C4351A8AE}" xr6:coauthVersionLast="47" xr6:coauthVersionMax="47" xr10:uidLastSave="{00000000-0000-0000-0000-000000000000}"/>
  <bookViews>
    <workbookView xWindow="-110" yWindow="-110" windowWidth="19420" windowHeight="10300" firstSheet="4" activeTab="9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  <sheet name="Sheet1" sheetId="14" r:id="rId12"/>
    <sheet name="Sheet2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L3" i="7"/>
  <c r="L4" i="7"/>
  <c r="L5" i="7"/>
  <c r="L6" i="7"/>
  <c r="L7" i="7"/>
  <c r="L8" i="7"/>
  <c r="L9" i="7"/>
  <c r="L10" i="7"/>
  <c r="L2" i="7"/>
  <c r="J3" i="7"/>
  <c r="J4" i="7"/>
  <c r="J5" i="7"/>
  <c r="J6" i="7"/>
  <c r="J7" i="7"/>
  <c r="J8" i="7"/>
  <c r="J9" i="7"/>
  <c r="J10" i="7"/>
  <c r="J2" i="7"/>
  <c r="K3" i="7"/>
  <c r="K4" i="7"/>
  <c r="K5" i="7"/>
  <c r="K6" i="7"/>
  <c r="K7" i="7"/>
  <c r="K8" i="7"/>
  <c r="K9" i="7"/>
  <c r="K10" i="7"/>
  <c r="K2" i="7"/>
  <c r="J3" i="3"/>
  <c r="J4" i="3"/>
  <c r="J5" i="3"/>
  <c r="J6" i="3"/>
  <c r="J7" i="3"/>
  <c r="J8" i="3"/>
  <c r="J9" i="3"/>
  <c r="J10" i="3"/>
  <c r="J2" i="3"/>
  <c r="J3" i="6"/>
  <c r="J4" i="6"/>
  <c r="J5" i="6"/>
  <c r="J6" i="6"/>
  <c r="J7" i="6"/>
  <c r="J8" i="6"/>
  <c r="J9" i="6"/>
  <c r="J10" i="6"/>
  <c r="J2" i="6"/>
  <c r="L2" i="5"/>
  <c r="K2" i="5"/>
  <c r="K2" i="8" a="1"/>
  <c r="K2" i="8" s="1"/>
  <c r="K3" i="8" a="1"/>
  <c r="K3" i="8" s="1"/>
  <c r="K4" i="8" a="1"/>
  <c r="K4" i="8" s="1"/>
  <c r="K5" i="8" a="1"/>
  <c r="K5" i="8" s="1"/>
  <c r="K6" i="8" a="1"/>
  <c r="K6" i="8" s="1"/>
  <c r="K7" i="8" a="1"/>
  <c r="K7" i="8" s="1"/>
  <c r="K8" i="8" a="1"/>
  <c r="K8" i="8"/>
  <c r="K9" i="8" a="1"/>
  <c r="K9" i="8" s="1"/>
  <c r="K10" i="8" a="1"/>
  <c r="K10" i="8" s="1"/>
  <c r="J2" i="5"/>
  <c r="K3" i="13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J3" i="1"/>
  <c r="J4" i="1"/>
  <c r="J5" i="1"/>
  <c r="J6" i="1"/>
  <c r="J7" i="1"/>
  <c r="J8" i="1"/>
  <c r="J9" i="1"/>
  <c r="J10" i="1"/>
  <c r="J11" i="1"/>
  <c r="J12" i="1"/>
  <c r="J2" i="1"/>
  <c r="J3" i="8"/>
  <c r="J4" i="8"/>
  <c r="J5" i="8"/>
  <c r="J6" i="8"/>
  <c r="J7" i="8"/>
  <c r="J8" i="8"/>
  <c r="J9" i="8"/>
  <c r="J10" i="8"/>
  <c r="J2" i="8"/>
  <c r="J3" i="2"/>
  <c r="J4" i="2"/>
  <c r="J5" i="2"/>
  <c r="J6" i="2"/>
  <c r="J7" i="2"/>
  <c r="J8" i="2"/>
  <c r="J9" i="2"/>
  <c r="J10" i="2"/>
  <c r="J2" i="2"/>
  <c r="K2" i="9"/>
  <c r="J2" i="9"/>
  <c r="K3" i="1"/>
  <c r="K4" i="1"/>
  <c r="K5" i="1"/>
  <c r="K6" i="1"/>
  <c r="K7" i="1"/>
  <c r="K8" i="1"/>
  <c r="K9" i="1"/>
  <c r="K10" i="1"/>
  <c r="K2" i="1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<sst xmlns="http://schemas.openxmlformats.org/spreadsheetml/2006/main" count="584" uniqueCount="89">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</sst>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B1" workbookViewId="0">
      <selection activeCell="J2" sqref="J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3">
        <f>MAX(G1:G10)</f>
        <v>65000</v>
      </c>
      <c r="K2" s="3">
        <f>MIN(G1:G10)</f>
        <v>36000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11" sqref="K11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IF(D2&gt;30,"ys","no")</f>
        <v>no</v>
      </c>
      <c r="K2" s="4" t="str" cm="1">
        <f t="array" ref="K2">_xlfn.IFS(G2&gt;45000, "ys", TRUE, "no")</f>
        <v>no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IF(D3&gt;30,"ys","no")</f>
        <v>no</v>
      </c>
      <c r="K3" s="4" t="str" cm="1">
        <f t="array" ref="K3">_xlfn.IFS(G3&gt;45000, "ys", TRUE, "no")</f>
        <v>no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no</v>
      </c>
      <c r="K4" s="4" t="str" cm="1">
        <f t="array" ref="K4">_xlfn.IFS(G4&gt;45000, "ys", TRUE, "no")</f>
        <v>ys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ys</v>
      </c>
      <c r="K5" s="4" t="str" cm="1">
        <f t="array" ref="K5">_xlfn.IFS(G5&gt;45000, "ys", TRUE, "no")</f>
        <v>ys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ys</v>
      </c>
      <c r="K6" s="4" t="str" cm="1">
        <f t="array" ref="K6">_xlfn.IFS(G6&gt;45000, "ys", TRUE, "no")</f>
        <v>ys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ys</v>
      </c>
      <c r="K7" s="4" t="str" cm="1">
        <f t="array" ref="K7">_xlfn.IFS(G7&gt;45000, "ys", TRUE, "no")</f>
        <v>ys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ys</v>
      </c>
      <c r="K8" s="4" t="str" cm="1">
        <f t="array" ref="K8">_xlfn.IFS(G8&gt;45000, "ys", TRUE, "no")</f>
        <v>no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ys</v>
      </c>
      <c r="K9" s="4" t="str" cm="1">
        <f t="array" ref="K9">_xlfn.IFS(G9&gt;45000, "ys", TRUE, "no")</f>
        <v>ys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ys</v>
      </c>
      <c r="K10" s="4" t="str" cm="1">
        <f t="array" ref="K10">_xlfn.IFS(G10&gt;45000, "ys", TRUE, "no")</f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2" sqref="J2:J10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LEN(B2)</f>
        <v>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LEN(B3)</f>
        <v>3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4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7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8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7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3"/>
  <sheetViews>
    <sheetView topLeftCell="D1" workbookViewId="0">
      <selection activeCell="M13" sqref="M13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LEFT(F2,3)</f>
        <v>Sal</v>
      </c>
      <c r="L2" t="str">
        <f>RIGHT(F2,4)</f>
        <v>sman</v>
      </c>
      <c r="M2" t="str">
        <f>MID(F2,2,4)</f>
        <v>ales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LEFT(F3,3)</f>
        <v>Rec</v>
      </c>
      <c r="L3" t="str">
        <f t="shared" ref="L3:L10" si="1">RIGHT(F3,4)</f>
        <v>nist</v>
      </c>
      <c r="M3" t="str">
        <f t="shared" ref="M3:M10" si="2">MID(F3,2,4)</f>
        <v>ecep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Sal</v>
      </c>
      <c r="L4" t="str">
        <f t="shared" si="1"/>
        <v>sman</v>
      </c>
      <c r="M4" t="str">
        <f t="shared" si="2"/>
        <v>ales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Acc</v>
      </c>
      <c r="L5" t="str">
        <f t="shared" si="1"/>
        <v>tant</v>
      </c>
      <c r="M5" t="str">
        <f t="shared" si="2"/>
        <v>ccou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HR</v>
      </c>
      <c r="L6" t="str">
        <f t="shared" si="1"/>
        <v>HR</v>
      </c>
      <c r="M6" t="str">
        <f t="shared" si="2"/>
        <v>R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Reg</v>
      </c>
      <c r="L7" t="str">
        <f t="shared" si="1"/>
        <v>ager</v>
      </c>
      <c r="M7" t="str">
        <f t="shared" si="2"/>
        <v>egio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Sup</v>
      </c>
      <c r="L8" t="str">
        <f t="shared" si="1"/>
        <v>ions</v>
      </c>
      <c r="M8" t="str">
        <f t="shared" si="2"/>
        <v>uppl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Sal</v>
      </c>
      <c r="L9" t="str">
        <f t="shared" si="1"/>
        <v>sman</v>
      </c>
      <c r="M9" t="str">
        <f t="shared" si="2"/>
        <v>ales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Acc</v>
      </c>
      <c r="L10" t="str">
        <f t="shared" si="1"/>
        <v>tant</v>
      </c>
      <c r="M10" t="str">
        <f t="shared" si="2"/>
        <v>ccou</v>
      </c>
    </row>
    <row r="13" spans="1:13" x14ac:dyDescent="0.35">
      <c r="M13" s="5" t="s">
        <v>88</v>
      </c>
    </row>
  </sheetData>
  <conditionalFormatting sqref="M13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63BE7B"/>
        <color rgb="FFFCFCFF"/>
      </colorScale>
    </cfRule>
  </conditionalFormatting>
  <conditionalFormatting sqref="M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2" sqref="J2:J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TEXT(H2,"dd/mm/yyy")</f>
        <v>02/11/2001</v>
      </c>
      <c r="K2" s="2"/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TEXT(H3,"dd/mm/yyy")</f>
        <v>03/10/1999</v>
      </c>
      <c r="K3" s="2"/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</row>
    <row r="12" spans="1:11" x14ac:dyDescent="0.35">
      <c r="H12" s="1"/>
    </row>
    <row r="13" spans="1:11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2" sqref="J2:J10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TRIM(C3)</f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13" sqref="J1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SUBSTITUTE(B2, "a", "*")</f>
        <v>Jim</v>
      </c>
      <c r="K2" t="str">
        <f>SUBSTITUTE(B2, "a", "*", 2)</f>
        <v>Jim</v>
      </c>
      <c r="L2" t="str">
        <f>SUBSTITUTE(B2, "a", "*", 1)</f>
        <v>Jim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SUBSTITUTE(B3, "a", "*")</f>
        <v>P*m</v>
      </c>
      <c r="K3" t="str">
        <f>SUBSTITUTE(B3, "a", "*", 2)</f>
        <v>Pam</v>
      </c>
      <c r="L3" t="str">
        <f t="shared" ref="L3:L10" si="1">SUBSTITUTE(B3, "a", "*", 1)</f>
        <v>P*m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Dwight</v>
      </c>
      <c r="K4" t="str">
        <f t="shared" ref="K3:K10" si="2">SUBSTITUTE(B4, "a", "*", 2)</f>
        <v>Dwight</v>
      </c>
      <c r="L4" t="str">
        <f t="shared" si="1"/>
        <v>Dwight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Angel*</v>
      </c>
      <c r="K5" t="str">
        <f t="shared" si="2"/>
        <v>Angela</v>
      </c>
      <c r="L5" t="str">
        <f t="shared" si="1"/>
        <v>Angel*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Toby</v>
      </c>
      <c r="K6" t="str">
        <f t="shared" si="2"/>
        <v>Toby</v>
      </c>
      <c r="L6" t="str">
        <f t="shared" si="1"/>
        <v>Toby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Mich*el</v>
      </c>
      <c r="K7" t="str">
        <f t="shared" si="2"/>
        <v>Michael</v>
      </c>
      <c r="L7" t="str">
        <f t="shared" si="1"/>
        <v>Mich*el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Meredith</v>
      </c>
      <c r="K8" t="str">
        <f t="shared" si="2"/>
        <v>Meredith</v>
      </c>
      <c r="L8" t="str">
        <f t="shared" si="1"/>
        <v>Meredith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St*nley</v>
      </c>
      <c r="K9" t="str">
        <f t="shared" si="2"/>
        <v>Stanley</v>
      </c>
      <c r="L9" t="str">
        <f t="shared" si="1"/>
        <v>St*nley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Kevin</v>
      </c>
      <c r="K10" t="str">
        <f t="shared" si="2"/>
        <v>Kevin</v>
      </c>
      <c r="L10" t="str">
        <f t="shared" si="1"/>
        <v>Kevin</v>
      </c>
    </row>
    <row r="12" spans="1:12" x14ac:dyDescent="0.35">
      <c r="H12" s="2"/>
      <c r="I12" s="2"/>
      <c r="J12">
        <v>0</v>
      </c>
      <c r="K12">
        <v>2</v>
      </c>
      <c r="L12">
        <v>1</v>
      </c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B1" workbookViewId="0">
      <selection activeCell="F25" sqref="F25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COUNT(D:D)</f>
        <v>9</v>
      </c>
      <c r="K2">
        <f>COUNTIF(E2:E10, "Male")</f>
        <v>6</v>
      </c>
      <c r="L2">
        <f>COUNTIFS(E2:E10,"Male",F2:F10,"Salesman")</f>
        <v>3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abSelected="1" workbookViewId="0">
      <selection activeCell="J2" sqref="J2:J12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  <col min="11" max="11" width="14.6328125" bestFit="1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CONCATENATE(B2,"",C2)</f>
        <v>JimHalpert</v>
      </c>
      <c r="K2" t="str">
        <f>_xlfn.CONCAT(B2," ",C2)</f>
        <v>Jim Halpert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CONCATENATE(B3,"",C3)</f>
        <v>PamBeasley</v>
      </c>
      <c r="K3" t="str">
        <f t="shared" ref="K3:K10" si="1">_xlfn.CONCAT(B3," ",C3)</f>
        <v>Pam Beasley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DwightSchrute</v>
      </c>
      <c r="K4" t="str">
        <f t="shared" si="1"/>
        <v>Dwight Schrute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AngelaMartin</v>
      </c>
      <c r="K5" t="str">
        <f t="shared" si="1"/>
        <v>Angela Martin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TobyFlenderson</v>
      </c>
      <c r="K6" t="str">
        <f t="shared" si="1"/>
        <v>Toby Flenderson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MichaelScott</v>
      </c>
      <c r="K7" t="str">
        <f t="shared" si="1"/>
        <v>Michael Scott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MeredithPalmer</v>
      </c>
      <c r="K8" t="str">
        <f t="shared" si="1"/>
        <v>Meredith Palmer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StanleyHudson</v>
      </c>
      <c r="K9" t="str">
        <f t="shared" si="1"/>
        <v>Stanley Hudson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KevinMalone</v>
      </c>
      <c r="K10" t="str">
        <f t="shared" si="1"/>
        <v>Kevin Malone</v>
      </c>
    </row>
    <row r="11" spans="1:11" x14ac:dyDescent="0.35">
      <c r="H11" t="str">
        <f t="shared" ref="H11:H12" si="2">CONCATENATE(B11," ",C11)</f>
        <v xml:space="preserve"> </v>
      </c>
      <c r="J11" t="str">
        <f t="shared" si="0"/>
        <v/>
      </c>
    </row>
    <row r="12" spans="1:11" x14ac:dyDescent="0.35">
      <c r="H12" t="str">
        <f t="shared" si="2"/>
        <v xml:space="preserve"> </v>
      </c>
      <c r="J12" t="str">
        <f t="shared" si="0"/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K2" sqref="K2:K10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 H2)</f>
        <v>5056</v>
      </c>
      <c r="K2">
        <f>NETWORKDAYS(H2,I2)</f>
        <v>3611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 H3)</f>
        <v>5851</v>
      </c>
      <c r="K3">
        <f t="shared" ref="K3:K10" si="1">NETWORKDAYS(H3,I3)</f>
        <v>4180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8358-5AF0-4C3D-B8C6-A6E50E78295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82B8-D3E3-4E79-955D-B3E7556980B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mohamed rizk</cp:lastModifiedBy>
  <dcterms:created xsi:type="dcterms:W3CDTF">2021-12-16T14:18:34Z</dcterms:created>
  <dcterms:modified xsi:type="dcterms:W3CDTF">2026-07-26T17:38:01Z</dcterms:modified>
</cp:coreProperties>
</file>